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GAMING\Desktop\decamino-web\decaminoserviciosapp\"/>
    </mc:Choice>
  </mc:AlternateContent>
  <xr:revisionPtr revIDLastSave="0" documentId="13_ncr:1_{CD02326C-5EF2-47B5-A77E-197B7BFE8CF2}" xr6:coauthVersionLast="47" xr6:coauthVersionMax="47" xr10:uidLastSave="{00000000-0000-0000-0000-000000000000}"/>
  <bookViews>
    <workbookView xWindow="2730" yWindow="1935" windowWidth="29850" windowHeight="13545" xr2:uid="{47E5F3DA-F5FD-484C-9B83-26C38BB166F2}"/>
  </bookViews>
  <sheets>
    <sheet name="- LIMP - 2025 - valo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6" i="2" s="1"/>
  <c r="D40" i="2"/>
  <c r="C38" i="2"/>
  <c r="D38" i="2" s="1"/>
  <c r="D36" i="2"/>
  <c r="D34" i="2"/>
  <c r="D32" i="2"/>
  <c r="D30" i="2"/>
  <c r="D28" i="2"/>
  <c r="D26" i="2"/>
  <c r="D24" i="2"/>
  <c r="D22" i="2"/>
  <c r="D20" i="2"/>
  <c r="D42" i="2" l="1"/>
  <c r="B12" i="2"/>
  <c r="D12" i="2" s="1"/>
  <c r="D8" i="2"/>
  <c r="D10" i="2" s="1"/>
  <c r="D16" i="2" l="1"/>
  <c r="D14" i="2"/>
  <c r="D18" i="2" l="1"/>
  <c r="D44" i="2"/>
  <c r="D46" i="2"/>
  <c r="D48" i="2" s="1"/>
  <c r="D51" i="2" s="1"/>
</calcChain>
</file>

<file path=xl/sharedStrings.xml><?xml version="1.0" encoding="utf-8"?>
<sst xmlns="http://schemas.openxmlformats.org/spreadsheetml/2006/main" count="28" uniqueCount="28">
  <si>
    <t>CONSERJERÍA</t>
  </si>
  <si>
    <t>HORAS SEM.</t>
  </si>
  <si>
    <t>MES DE VACACIONES CONSERJE (1/12)</t>
  </si>
  <si>
    <t>VACACIONES SUPLENTE-LIQUIDACION (1/12)</t>
  </si>
  <si>
    <t>SERVICIOS EXTRA-VARIOS (HORAS EXTRA ANUAL, ETC.)</t>
  </si>
  <si>
    <t>TOTAL SALARIOS:</t>
  </si>
  <si>
    <t>TOTAL COSTE SALARIAL POR EMPLEADO AÑO:</t>
  </si>
  <si>
    <t>UNIFORMIDAD ANUAL</t>
  </si>
  <si>
    <t>GESTORÍA ANUAL</t>
  </si>
  <si>
    <t>PRODUCTOS LIMPIEZA ANUAL</t>
  </si>
  <si>
    <t>LIMPIEZA GAJARE (250 €/LIMPIEZA)</t>
  </si>
  <si>
    <t>ACRISTALADO (125 €/ACRISTALADO)</t>
  </si>
  <si>
    <t>CRISTALERO</t>
  </si>
  <si>
    <t>CUBOS</t>
  </si>
  <si>
    <t>TELEFONO</t>
  </si>
  <si>
    <t>VIGILANT</t>
  </si>
  <si>
    <t>GASTOS FIJO/HORAS SERVICIO (ANUAL)</t>
  </si>
  <si>
    <t>BENEFICIO EMPRESARIAL (ANUAL)</t>
  </si>
  <si>
    <t>SUMA VARIOS</t>
  </si>
  <si>
    <t>IVA (21%)</t>
  </si>
  <si>
    <t>TOTAL PRESUPUESTO POR AÑO (IVA INCLUIDO)</t>
  </si>
  <si>
    <t>PRESUPUESTO POR MES SIN IVA</t>
  </si>
  <si>
    <t>convenio 2023</t>
  </si>
  <si>
    <t>JOAQUIN MARIA LOPEZ 41DPL-TRP</t>
  </si>
  <si>
    <t>04/07/22--02/08/22 - 46 H./SEMANA (8,5 H. L-V + S 3,5 H.)</t>
  </si>
  <si>
    <t>SMI ANUAL 2022 (40 H./SEMANA - 1.000 €/MES 14 PAGAS)</t>
  </si>
  <si>
    <t>SALARIO ANUAL 1 CONSERJE PARA CURBIR 40 H./SEM DE SERVICIO</t>
  </si>
  <si>
    <t>CUOTAS SEGURIDAD SOCIAL ANUAL (35%)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</si>
</sst>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3" x14ac:knownFonts="1">
    <font>
      <sz val="11"/>
      <color theme="1"/>
      <name val="Aptos Narrow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44" fontId="2" fillId="0" borderId="2" xfId="0" applyNumberFormat="1" applyFont="1" applyBorder="1"/>
    <xf numFmtId="0" fontId="2" fillId="0" borderId="2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5" fillId="0" borderId="1" xfId="0" applyFont="1" applyBorder="1"/>
    <xf numFmtId="44" fontId="3" fillId="0" borderId="1" xfId="0" applyNumberFormat="1" applyFont="1" applyBorder="1" applyAlignment="1">
      <alignment horizontal="center"/>
    </xf>
    <xf numFmtId="0" fontId="5" fillId="0" borderId="3" xfId="0" applyFont="1" applyBorder="1"/>
    <xf numFmtId="44" fontId="2" fillId="0" borderId="3" xfId="0" applyNumberFormat="1" applyFont="1" applyBorder="1"/>
    <xf numFmtId="0" fontId="2" fillId="0" borderId="3" xfId="0" applyFont="1" applyBorder="1"/>
    <xf numFmtId="44" fontId="4" fillId="0" borderId="4" xfId="0" applyNumberFormat="1" applyFont="1" applyBorder="1"/>
    <xf numFmtId="0" fontId="2" fillId="0" borderId="1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44" fontId="4" fillId="0" borderId="1" xfId="0" applyNumberFormat="1" applyFont="1" applyBorder="1"/>
    <xf numFmtId="44" fontId="4" fillId="0" borderId="2" xfId="0" applyNumberFormat="1" applyFont="1" applyBorder="1"/>
    <xf numFmtId="0" fontId="2" fillId="0" borderId="1" xfId="0" applyFont="1" applyBorder="1"/>
    <xf numFmtId="164" fontId="2" fillId="0" borderId="2" xfId="0" applyNumberFormat="1" applyFont="1" applyBorder="1"/>
    <xf numFmtId="0" fontId="3" fillId="0" borderId="1" xfId="0" applyFont="1" applyBorder="1" applyAlignment="1">
      <alignment wrapText="1"/>
    </xf>
    <xf numFmtId="44" fontId="2" fillId="3" borderId="2" xfId="0" applyNumberFormat="1" applyFont="1" applyFill="1" applyBorder="1"/>
    <xf numFmtId="0" fontId="6" fillId="0" borderId="4" xfId="0" applyFont="1" applyBorder="1" applyAlignment="1">
      <alignment wrapText="1"/>
    </xf>
    <xf numFmtId="44" fontId="3" fillId="0" borderId="1" xfId="0" applyNumberFormat="1" applyFont="1" applyBorder="1"/>
    <xf numFmtId="0" fontId="2" fillId="0" borderId="4" xfId="0" applyFont="1" applyBorder="1"/>
    <xf numFmtId="0" fontId="7" fillId="0" borderId="1" xfId="0" applyFont="1" applyBorder="1"/>
    <xf numFmtId="0" fontId="2" fillId="2" borderId="2" xfId="0" applyFont="1" applyFill="1" applyBorder="1"/>
    <xf numFmtId="164" fontId="3" fillId="0" borderId="1" xfId="0" applyNumberFormat="1" applyFont="1" applyBorder="1"/>
    <xf numFmtId="49" fontId="2" fillId="0" borderId="2" xfId="0" applyNumberFormat="1" applyFont="1" applyBorder="1"/>
    <xf numFmtId="44" fontId="2" fillId="0" borderId="2" xfId="0" applyNumberFormat="1" applyFont="1" applyBorder="1" applyAlignment="1">
      <alignment vertical="center"/>
    </xf>
    <xf numFmtId="3" fontId="2" fillId="2" borderId="2" xfId="0" applyNumberFormat="1" applyFont="1" applyFill="1" applyBorder="1"/>
    <xf numFmtId="164" fontId="7" fillId="0" borderId="1" xfId="0" applyNumberFormat="1" applyFont="1" applyBorder="1"/>
    <xf numFmtId="0" fontId="2" fillId="0" borderId="4" xfId="0" applyFont="1" applyBorder="1" applyAlignment="1">
      <alignment vertical="center"/>
    </xf>
    <xf numFmtId="164" fontId="2" fillId="0" borderId="3" xfId="0" applyNumberFormat="1" applyFont="1" applyBorder="1"/>
    <xf numFmtId="164" fontId="2" fillId="0" borderId="4" xfId="0" applyNumberFormat="1" applyFont="1" applyBorder="1"/>
    <xf numFmtId="0" fontId="2" fillId="0" borderId="1" xfId="0" applyFont="1" applyBorder="1" applyAlignment="1">
      <alignment vertical="center"/>
    </xf>
    <xf numFmtId="44" fontId="2" fillId="0" borderId="1" xfId="0" applyNumberFormat="1" applyFont="1" applyBorder="1"/>
    <xf numFmtId="0" fontId="7" fillId="0" borderId="6" xfId="0" applyFont="1" applyBorder="1"/>
    <xf numFmtId="44" fontId="2" fillId="0" borderId="6" xfId="0" applyNumberFormat="1" applyFont="1" applyBorder="1"/>
    <xf numFmtId="0" fontId="2" fillId="0" borderId="6" xfId="0" applyFont="1" applyBorder="1"/>
    <xf numFmtId="44" fontId="3" fillId="0" borderId="7" xfId="0" applyNumberFormat="1" applyFont="1" applyBorder="1"/>
    <xf numFmtId="0" fontId="3" fillId="0" borderId="1" xfId="0" applyFont="1" applyBorder="1"/>
    <xf numFmtId="44" fontId="2" fillId="0" borderId="4" xfId="0" applyNumberFormat="1" applyFont="1" applyBorder="1"/>
    <xf numFmtId="0" fontId="8" fillId="0" borderId="5" xfId="0" applyFont="1" applyBorder="1"/>
    <xf numFmtId="44" fontId="9" fillId="0" borderId="4" xfId="0" applyNumberFormat="1" applyFont="1" applyBorder="1"/>
    <xf numFmtId="0" fontId="9" fillId="0" borderId="3" xfId="0" applyFont="1" applyBorder="1"/>
    <xf numFmtId="44" fontId="10" fillId="0" borderId="8" xfId="0" applyNumberFormat="1" applyFont="1" applyBorder="1"/>
    <xf numFmtId="0" fontId="11" fillId="0" borderId="0" xfId="0" applyFont="1"/>
    <xf numFmtId="44" fontId="9" fillId="0" borderId="0" xfId="0" applyNumberFormat="1" applyFont="1"/>
    <xf numFmtId="0" fontId="9" fillId="0" borderId="0" xfId="0" applyFont="1"/>
    <xf numFmtId="0" fontId="12" fillId="0" borderId="0" xfId="0" applyFont="1"/>
    <xf numFmtId="44" fontId="12" fillId="0" borderId="0" xfId="0" applyNumberFormat="1" applyFont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6D36-4263-4D36-9BDB-021ECFFE6C1C}">
  <sheetPr>
    <pageSetUpPr fitToPage="1"/>
  </sheetPr>
  <dimension ref="A1:D51"/>
  <sheetViews>
    <sheetView tabSelected="1" workbookViewId="0">
      <selection activeCell="G9" sqref="G9"/>
    </sheetView>
  </sheetViews>
  <sheetFormatPr baseColWidth="10" defaultRowHeight="15" x14ac:dyDescent="0.25"/>
  <cols>
    <col min="1" max="1" width="54.7109375" style="48" customWidth="1"/>
    <col min="2" max="2" width="15.28515625" style="47" customWidth="1"/>
    <col min="3" max="3" width="9.7109375" style="48" customWidth="1"/>
    <col min="4" max="4" width="15.140625" style="49" customWidth="1"/>
  </cols>
  <sheetData>
    <row r="1" spans="1:4" x14ac:dyDescent="0.25">
      <c r="A1" s="1" t="s">
        <v>0</v>
      </c>
      <c r="B1" s="2"/>
      <c r="C1" s="3"/>
      <c r="D1" s="4" t="s">
        <v>22</v>
      </c>
    </row>
    <row r="2" spans="1:4" x14ac:dyDescent="0.25">
      <c r="A2" s="6" t="s">
        <v>23</v>
      </c>
      <c r="B2" s="2"/>
      <c r="C2" s="3"/>
      <c r="D2" s="7">
        <v>1485</v>
      </c>
    </row>
    <row r="3" spans="1:4" ht="21" customHeight="1" x14ac:dyDescent="0.25">
      <c r="A3" s="8" t="s">
        <v>24</v>
      </c>
      <c r="B3" s="9" t="s">
        <v>1</v>
      </c>
      <c r="C3" s="10"/>
      <c r="D3" s="11"/>
    </row>
    <row r="4" spans="1:4" x14ac:dyDescent="0.25">
      <c r="A4" s="12" t="s">
        <v>25</v>
      </c>
      <c r="B4" s="13">
        <v>40</v>
      </c>
      <c r="C4" s="14"/>
      <c r="D4" s="15">
        <f>D2*12</f>
        <v>17820</v>
      </c>
    </row>
    <row r="5" spans="1:4" x14ac:dyDescent="0.25">
      <c r="A5" s="12"/>
      <c r="B5" s="2"/>
      <c r="C5" s="3"/>
      <c r="D5" s="5"/>
    </row>
    <row r="6" spans="1:4" ht="26.25" x14ac:dyDescent="0.25">
      <c r="A6" s="12" t="s">
        <v>26</v>
      </c>
      <c r="B6" s="2"/>
      <c r="C6" s="3"/>
      <c r="D6" s="16">
        <f>D4/39*B4</f>
        <v>18276.923076923078</v>
      </c>
    </row>
    <row r="7" spans="1:4" x14ac:dyDescent="0.25">
      <c r="A7" s="17"/>
      <c r="B7" s="2"/>
      <c r="C7" s="3"/>
      <c r="D7" s="5"/>
    </row>
    <row r="8" spans="1:4" x14ac:dyDescent="0.25">
      <c r="A8" s="17" t="s">
        <v>2</v>
      </c>
      <c r="B8" s="2"/>
      <c r="C8" s="3"/>
      <c r="D8" s="16">
        <f>D6/12/30*31</f>
        <v>1573.8461538461538</v>
      </c>
    </row>
    <row r="9" spans="1:4" x14ac:dyDescent="0.25">
      <c r="A9" s="17"/>
      <c r="B9" s="2"/>
      <c r="C9" s="3"/>
      <c r="D9" s="5"/>
    </row>
    <row r="10" spans="1:4" x14ac:dyDescent="0.25">
      <c r="A10" s="12" t="s">
        <v>3</v>
      </c>
      <c r="B10" s="2"/>
      <c r="C10" s="3"/>
      <c r="D10" s="16">
        <f>D8/12</f>
        <v>131.15384615384616</v>
      </c>
    </row>
    <row r="11" spans="1:4" x14ac:dyDescent="0.25">
      <c r="A11" s="12"/>
      <c r="B11" s="2"/>
      <c r="C11" s="3"/>
      <c r="D11" s="16"/>
    </row>
    <row r="12" spans="1:4" x14ac:dyDescent="0.25">
      <c r="A12" s="19" t="s">
        <v>4</v>
      </c>
      <c r="B12" s="20">
        <f>D6/156</f>
        <v>117.15976331360947</v>
      </c>
      <c r="C12" s="51">
        <v>12</v>
      </c>
      <c r="D12" s="16">
        <f>B12*C12</f>
        <v>1405.9171597633137</v>
      </c>
    </row>
    <row r="13" spans="1:4" x14ac:dyDescent="0.25">
      <c r="A13" s="21"/>
      <c r="B13" s="9"/>
      <c r="C13" s="10"/>
      <c r="D13" s="11"/>
    </row>
    <row r="14" spans="1:4" x14ac:dyDescent="0.25">
      <c r="A14" s="17" t="s">
        <v>5</v>
      </c>
      <c r="B14" s="2"/>
      <c r="C14" s="3"/>
      <c r="D14" s="22">
        <f>D6+D8+D10+D12</f>
        <v>21387.840236686392</v>
      </c>
    </row>
    <row r="15" spans="1:4" x14ac:dyDescent="0.25">
      <c r="A15" s="23"/>
      <c r="B15" s="9"/>
      <c r="C15" s="10"/>
      <c r="D15" s="11"/>
    </row>
    <row r="16" spans="1:4" x14ac:dyDescent="0.25">
      <c r="A16" s="12" t="s">
        <v>27</v>
      </c>
      <c r="B16" s="2"/>
      <c r="C16" s="3"/>
      <c r="D16" s="22">
        <f>(D6+D8+D10)*0.35</f>
        <v>6993.6730769230771</v>
      </c>
    </row>
    <row r="17" spans="1:4" x14ac:dyDescent="0.25">
      <c r="A17" s="23"/>
      <c r="B17" s="9"/>
      <c r="C17" s="10"/>
      <c r="D17" s="11"/>
    </row>
    <row r="18" spans="1:4" x14ac:dyDescent="0.25">
      <c r="A18" s="24" t="s">
        <v>6</v>
      </c>
      <c r="B18" s="2"/>
      <c r="C18" s="3"/>
      <c r="D18" s="22">
        <f>D14+D16</f>
        <v>28381.51331360947</v>
      </c>
    </row>
    <row r="19" spans="1:4" x14ac:dyDescent="0.25">
      <c r="A19" s="23"/>
      <c r="B19" s="9"/>
      <c r="C19" s="10"/>
      <c r="D19" s="11"/>
    </row>
    <row r="20" spans="1:4" x14ac:dyDescent="0.25">
      <c r="A20" s="17" t="s">
        <v>7</v>
      </c>
      <c r="B20" s="2">
        <v>150</v>
      </c>
      <c r="C20" s="25">
        <v>2</v>
      </c>
      <c r="D20" s="15">
        <f>B20*C20</f>
        <v>300</v>
      </c>
    </row>
    <row r="21" spans="1:4" x14ac:dyDescent="0.25">
      <c r="A21" s="17"/>
      <c r="B21" s="2"/>
      <c r="C21" s="3"/>
      <c r="D21" s="15"/>
    </row>
    <row r="22" spans="1:4" x14ac:dyDescent="0.25">
      <c r="A22" s="17" t="s">
        <v>8</v>
      </c>
      <c r="B22" s="2">
        <v>120</v>
      </c>
      <c r="C22" s="25">
        <v>2</v>
      </c>
      <c r="D22" s="15">
        <f>B22*C22</f>
        <v>240</v>
      </c>
    </row>
    <row r="23" spans="1:4" x14ac:dyDescent="0.25">
      <c r="A23" s="17"/>
      <c r="B23" s="2"/>
      <c r="C23" s="3"/>
      <c r="D23" s="15"/>
    </row>
    <row r="24" spans="1:4" x14ac:dyDescent="0.25">
      <c r="A24" s="17" t="s">
        <v>9</v>
      </c>
      <c r="B24" s="20">
        <v>150</v>
      </c>
      <c r="C24" s="25">
        <v>12</v>
      </c>
      <c r="D24" s="15">
        <f>B24*C24</f>
        <v>1800</v>
      </c>
    </row>
    <row r="25" spans="1:4" x14ac:dyDescent="0.25">
      <c r="A25" s="17"/>
      <c r="B25" s="2"/>
      <c r="C25" s="3"/>
      <c r="D25" s="15"/>
    </row>
    <row r="26" spans="1:4" x14ac:dyDescent="0.25">
      <c r="A26" s="17" t="s">
        <v>10</v>
      </c>
      <c r="B26" s="2">
        <v>450</v>
      </c>
      <c r="C26" s="25">
        <v>2</v>
      </c>
      <c r="D26" s="15">
        <f>B26*C26</f>
        <v>900</v>
      </c>
    </row>
    <row r="27" spans="1:4" x14ac:dyDescent="0.25">
      <c r="A27" s="17"/>
      <c r="B27" s="2"/>
      <c r="C27" s="3"/>
      <c r="D27" s="15"/>
    </row>
    <row r="28" spans="1:4" x14ac:dyDescent="0.25">
      <c r="A28" s="17" t="s">
        <v>11</v>
      </c>
      <c r="B28" s="2">
        <v>250</v>
      </c>
      <c r="C28" s="25">
        <v>1</v>
      </c>
      <c r="D28" s="15">
        <f>B28*C28</f>
        <v>250</v>
      </c>
    </row>
    <row r="29" spans="1:4" x14ac:dyDescent="0.25">
      <c r="A29" s="17"/>
      <c r="B29" s="2"/>
      <c r="C29" s="3"/>
      <c r="D29" s="15"/>
    </row>
    <row r="30" spans="1:4" x14ac:dyDescent="0.25">
      <c r="A30" s="17" t="s">
        <v>12</v>
      </c>
      <c r="B30" s="2">
        <v>90</v>
      </c>
      <c r="C30" s="25">
        <v>0</v>
      </c>
      <c r="D30" s="15">
        <f>B30*C30</f>
        <v>0</v>
      </c>
    </row>
    <row r="31" spans="1:4" x14ac:dyDescent="0.25">
      <c r="A31" s="17"/>
      <c r="B31" s="2"/>
      <c r="C31" s="3"/>
      <c r="D31" s="15"/>
    </row>
    <row r="32" spans="1:4" x14ac:dyDescent="0.25">
      <c r="A32" s="17" t="s">
        <v>13</v>
      </c>
      <c r="B32" s="2">
        <v>8</v>
      </c>
      <c r="C32" s="25"/>
      <c r="D32" s="15">
        <f>B32*C32</f>
        <v>0</v>
      </c>
    </row>
    <row r="33" spans="1:4" x14ac:dyDescent="0.25">
      <c r="A33" s="17"/>
      <c r="B33" s="2"/>
      <c r="C33" s="3"/>
      <c r="D33" s="15"/>
    </row>
    <row r="34" spans="1:4" x14ac:dyDescent="0.25">
      <c r="A34" s="17" t="s">
        <v>14</v>
      </c>
      <c r="B34" s="2">
        <v>22</v>
      </c>
      <c r="C34" s="25">
        <v>0</v>
      </c>
      <c r="D34" s="15">
        <f>B34*C34*12</f>
        <v>0</v>
      </c>
    </row>
    <row r="35" spans="1:4" x14ac:dyDescent="0.25">
      <c r="A35" s="17"/>
      <c r="B35" s="2"/>
      <c r="C35" s="3"/>
      <c r="D35" s="15"/>
    </row>
    <row r="36" spans="1:4" x14ac:dyDescent="0.25">
      <c r="A36" s="17" t="s">
        <v>15</v>
      </c>
      <c r="B36" s="2">
        <v>8.4</v>
      </c>
      <c r="C36" s="25">
        <v>2</v>
      </c>
      <c r="D36" s="15">
        <f>B36*C36*12</f>
        <v>201.60000000000002</v>
      </c>
    </row>
    <row r="37" spans="1:4" x14ac:dyDescent="0.25">
      <c r="A37" s="17"/>
      <c r="B37" s="2"/>
      <c r="C37" s="3"/>
      <c r="D37" s="16"/>
    </row>
    <row r="38" spans="1:4" x14ac:dyDescent="0.25">
      <c r="A38" s="6" t="s">
        <v>16</v>
      </c>
      <c r="B38" s="20">
        <v>1.1000000000000001</v>
      </c>
      <c r="C38" s="25">
        <f>B4</f>
        <v>40</v>
      </c>
      <c r="D38" s="26">
        <f>B38*C38*4.33*12</f>
        <v>2286.2400000000002</v>
      </c>
    </row>
    <row r="39" spans="1:4" x14ac:dyDescent="0.25">
      <c r="A39" s="27"/>
      <c r="B39" s="28"/>
      <c r="C39" s="3"/>
      <c r="D39" s="5"/>
    </row>
    <row r="40" spans="1:4" x14ac:dyDescent="0.25">
      <c r="A40" s="24" t="s">
        <v>17</v>
      </c>
      <c r="B40" s="20">
        <v>150</v>
      </c>
      <c r="C40" s="29">
        <v>1</v>
      </c>
      <c r="D40" s="30">
        <f>C40*B40*12</f>
        <v>1800</v>
      </c>
    </row>
    <row r="41" spans="1:4" x14ac:dyDescent="0.25">
      <c r="A41" s="23"/>
      <c r="B41" s="31"/>
      <c r="C41" s="32"/>
      <c r="D41" s="33"/>
    </row>
    <row r="42" spans="1:4" x14ac:dyDescent="0.25">
      <c r="A42" s="24" t="s">
        <v>18</v>
      </c>
      <c r="B42" s="34"/>
      <c r="C42" s="18"/>
      <c r="D42" s="30">
        <f>SUM(D20:D40)</f>
        <v>7777.84</v>
      </c>
    </row>
    <row r="43" spans="1:4" x14ac:dyDescent="0.25">
      <c r="A43" s="17"/>
      <c r="B43" s="35"/>
      <c r="C43" s="3"/>
      <c r="D43" s="15"/>
    </row>
    <row r="44" spans="1:4" x14ac:dyDescent="0.25">
      <c r="A44" s="36" t="s">
        <v>19</v>
      </c>
      <c r="B44" s="37"/>
      <c r="C44" s="38"/>
      <c r="D44" s="39">
        <f>(D18+D42)*0.21</f>
        <v>7593.4641958579887</v>
      </c>
    </row>
    <row r="45" spans="1:4" x14ac:dyDescent="0.25">
      <c r="A45" s="23"/>
      <c r="B45" s="9"/>
      <c r="C45" s="10"/>
      <c r="D45" s="22"/>
    </row>
    <row r="46" spans="1:4" x14ac:dyDescent="0.25">
      <c r="A46" s="40" t="s">
        <v>20</v>
      </c>
      <c r="B46" s="37"/>
      <c r="C46" s="38"/>
      <c r="D46" s="39">
        <f>D18+D42+D44</f>
        <v>43752.817509467459</v>
      </c>
    </row>
    <row r="47" spans="1:4" x14ac:dyDescent="0.25">
      <c r="A47" s="17"/>
      <c r="B47" s="41"/>
      <c r="C47" s="10"/>
      <c r="D47" s="22"/>
    </row>
    <row r="48" spans="1:4" x14ac:dyDescent="0.25">
      <c r="A48" s="42" t="s">
        <v>21</v>
      </c>
      <c r="B48" s="43"/>
      <c r="C48" s="44"/>
      <c r="D48" s="45">
        <f>D46/1.21/12+1.98</f>
        <v>3015.2594428007892</v>
      </c>
    </row>
    <row r="50" spans="1:4" x14ac:dyDescent="0.25">
      <c r="A50" s="46"/>
    </row>
    <row r="51" spans="1:4" x14ac:dyDescent="0.25">
      <c r="D51" s="50">
        <f>D48+D48*21%</f>
        <v>3648.4639257889548</v>
      </c>
    </row>
  </sheetData>
  <pageMargins left="0" right="0" top="0" bottom="0" header="0" footer="0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- LIMP - 2025 - valois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elsayed</dc:creator>
  <cp:lastModifiedBy>aura elsayed</cp:lastModifiedBy>
  <dcterms:created xsi:type="dcterms:W3CDTF">2026-01-27T10:40:40Z</dcterms:created>
  <dcterms:modified xsi:type="dcterms:W3CDTF">2026-02-19T13:01:04Z</dcterms:modified>
</cp:coreProperties>
</file>